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s Database" sheetId="1" state="visible" r:id="rId3"/>
    <sheet name="Instructions" sheetId="2" state="visible" r:id="rId4"/>
  </sheets>
  <definedNames>
    <definedName function="false" hidden="true" localSheetId="0" name="_xlnm._FilterDatabase" vbProcedure="false">'Materials Database'!$A$1:$N$24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<sst xmlns="http://schemas.openxmlformats.org/spreadsheetml/2006/main" count="132" uniqueCount="104">
  <si>
    <t xml:space="preserve">ID</t>
  </si>
  <si>
    <t xml:space="preserve">Material</t>
  </si>
  <si>
    <t xml:space="preserve">Category</t>
  </si>
  <si>
    <t xml:space="preserve">E (MPa)</t>
  </si>
  <si>
    <t xml:space="preserve">ν</t>
  </si>
  <si>
    <t xml:space="preserve">Ftu (MPa)</t>
  </si>
  <si>
    <t xml:space="preserve">Fty (MPa)</t>
  </si>
  <si>
    <t xml:space="preserve">Fsu (MPa)</t>
  </si>
  <si>
    <t xml:space="preserve">Fbru (MPa)</t>
  </si>
  <si>
    <t xml:space="preserve">Fbry (MPa)</t>
  </si>
  <si>
    <t xml:space="preserve">ρ (kg/m³)</t>
  </si>
  <si>
    <t xml:space="preserve">α (×10⁻⁶/°C)</t>
  </si>
  <si>
    <t xml:space="preserve">Specific Str. (kN·m/kg)</t>
  </si>
  <si>
    <t xml:space="preserve">Reference</t>
  </si>
  <si>
    <t xml:space="preserve">s275</t>
  </si>
  <si>
    <t xml:space="preserve">S275 JR</t>
  </si>
  <si>
    <t xml:space="preserve">Steel</t>
  </si>
  <si>
    <t xml:space="preserve">EN 10025-2</t>
  </si>
  <si>
    <t xml:space="preserve">s355</t>
  </si>
  <si>
    <t xml:space="preserve">S355 J2</t>
  </si>
  <si>
    <t xml:space="preserve">s690</t>
  </si>
  <si>
    <t xml:space="preserve">S690 QL</t>
  </si>
  <si>
    <t xml:space="preserve">EN 10025-6</t>
  </si>
  <si>
    <t xml:space="preserve">4140</t>
  </si>
  <si>
    <t xml:space="preserve">AISI 4140 Q&amp;T</t>
  </si>
  <si>
    <t xml:space="preserve">MMPDS / AMS 6382</t>
  </si>
  <si>
    <t xml:space="preserve">4340_200</t>
  </si>
  <si>
    <t xml:space="preserve">AISI 4340 (200 ksi)</t>
  </si>
  <si>
    <t xml:space="preserve">MMPDS / AMS 6414</t>
  </si>
  <si>
    <t xml:space="preserve">4340_150</t>
  </si>
  <si>
    <t xml:space="preserve">AISI 4340 (150 ksi)</t>
  </si>
  <si>
    <t xml:space="preserve">4130</t>
  </si>
  <si>
    <t xml:space="preserve">AISI 4130 (125 ksi)</t>
  </si>
  <si>
    <t xml:space="preserve">MMPDS / AMS 6350</t>
  </si>
  <si>
    <t xml:space="preserve">en24</t>
  </si>
  <si>
    <t xml:space="preserve">En24 / 817M40</t>
  </si>
  <si>
    <t xml:space="preserve">BS 970 / EN 10083-3</t>
  </si>
  <si>
    <t xml:space="preserve">h13</t>
  </si>
  <si>
    <t xml:space="preserve">H13 Tool Steel</t>
  </si>
  <si>
    <t xml:space="preserve">ASTM A681 / EN ISO 4957</t>
  </si>
  <si>
    <t xml:space="preserve">ss304</t>
  </si>
  <si>
    <t xml:space="preserve">Stainless 304</t>
  </si>
  <si>
    <t xml:space="preserve">Stainless</t>
  </si>
  <si>
    <t xml:space="preserve">ASTM A240 / EN 10088</t>
  </si>
  <si>
    <t xml:space="preserve">ss316</t>
  </si>
  <si>
    <t xml:space="preserve">Stainless 316</t>
  </si>
  <si>
    <t xml:space="preserve">174ph_900</t>
  </si>
  <si>
    <t xml:space="preserve">17-4PH (H900)</t>
  </si>
  <si>
    <t xml:space="preserve">AMS 5643 / MMPDS</t>
  </si>
  <si>
    <t xml:space="preserve">174ph_1025</t>
  </si>
  <si>
    <t xml:space="preserve">17-4PH (H1025)</t>
  </si>
  <si>
    <t xml:space="preserve">155ph</t>
  </si>
  <si>
    <t xml:space="preserve">15-5PH (H1025)</t>
  </si>
  <si>
    <t xml:space="preserve">AMS 5659 / MMPDS</t>
  </si>
  <si>
    <t xml:space="preserve">ti64</t>
  </si>
  <si>
    <t xml:space="preserve">Ti-6Al-4V (Annealed)</t>
  </si>
  <si>
    <t xml:space="preserve">Titanium</t>
  </si>
  <si>
    <t xml:space="preserve">MMPDS / AMS 4911</t>
  </si>
  <si>
    <t xml:space="preserve">al2024t3</t>
  </si>
  <si>
    <t xml:space="preserve">Al 2024-T3 (Sheet)</t>
  </si>
  <si>
    <t xml:space="preserve">Aluminium</t>
  </si>
  <si>
    <t xml:space="preserve">MMPDS / EN 573-3</t>
  </si>
  <si>
    <t xml:space="preserve">al2024t351</t>
  </si>
  <si>
    <t xml:space="preserve">Al 2024-T351 (Plate)</t>
  </si>
  <si>
    <t xml:space="preserve">al7075t6</t>
  </si>
  <si>
    <t xml:space="preserve">Al 7075-T6 (Sheet)</t>
  </si>
  <si>
    <t xml:space="preserve">al7075t651</t>
  </si>
  <si>
    <t xml:space="preserve">Al 7075-T651 (Plate)</t>
  </si>
  <si>
    <t xml:space="preserve">al6061t6</t>
  </si>
  <si>
    <t xml:space="preserve">Al 6061-T6</t>
  </si>
  <si>
    <t xml:space="preserve">al6082t6</t>
  </si>
  <si>
    <t xml:space="preserve">Al 6082-T6</t>
  </si>
  <si>
    <t xml:space="preserve">EN 755-2 / EN 573-3</t>
  </si>
  <si>
    <t xml:space="preserve">al5052h32</t>
  </si>
  <si>
    <t xml:space="preserve">Al 5052-H32</t>
  </si>
  <si>
    <t xml:space="preserve">al7050t7451</t>
  </si>
  <si>
    <t xml:space="preserve">Al 7050-T7451 (Plate)</t>
  </si>
  <si>
    <t xml:space="preserve">MMPDS / AMS 4050</t>
  </si>
  <si>
    <t xml:space="preserve">Engineering Materials Database — Instructions</t>
  </si>
  <si>
    <t xml:space="preserve">This spreadsheet is the master materials database for the Engineering Workbook.</t>
  </si>
  <si>
    <t xml:space="preserve">COLUMNS:</t>
  </si>
  <si>
    <t xml:space="preserve">  ID — Unique identifier (lowercase, no spaces). Used internally by calculators.</t>
  </si>
  <si>
    <t xml:space="preserve">  Material — Display name shown in calculator dropdowns.</t>
  </si>
  <si>
    <t xml:space="preserve">  Category — Used for filtering. Standard values: Steel, Stainless, Aluminium, Titanium, Copper, Composite, Other.</t>
  </si>
  <si>
    <t xml:space="preserve">  E (MPa) — Young's modulus.</t>
  </si>
  <si>
    <t xml:space="preserve">  ν — Poisson's ratio.</t>
  </si>
  <si>
    <t xml:space="preserve">  Ftu (MPa) — Ultimate tensile strength.</t>
  </si>
  <si>
    <t xml:space="preserve">  Fty (MPa) — Tensile yield strength.</t>
  </si>
  <si>
    <t xml:space="preserve">  Fsu (MPa) — Ultimate shear strength.</t>
  </si>
  <si>
    <t xml:space="preserve">  Fbru (MPa) — Ultimate bearing strength.</t>
  </si>
  <si>
    <t xml:space="preserve">  Fbry (MPa) — Bearing yield strength.</t>
  </si>
  <si>
    <t xml:space="preserve">  ρ (kg/m³) — Density.</t>
  </si>
  <si>
    <t xml:space="preserve">  α (×10⁻⁶/°C) — Coefficient of thermal expansion (displayed as ×10⁻⁶, so enter 12.0 for 12×10⁻⁶/°C).</t>
  </si>
  <si>
    <t xml:space="preserve">  Specific Str. — Auto-calculated: Ftu / ρ × 1000 (kN·m/kg). Do not edit this column.</t>
  </si>
  <si>
    <t xml:space="preserve">  Reference — Source document / standard.</t>
  </si>
  <si>
    <t xml:space="preserve">TO ADD A MATERIAL:</t>
  </si>
  <si>
    <t xml:space="preserve">  Add a new row at the bottom of the Materials Database sheet.</t>
  </si>
  <si>
    <t xml:space="preserve">  Fill in all columns. The Specific Strength column formula will auto-fill if you copy from the row above.</t>
  </si>
  <si>
    <t xml:space="preserve">TO IMPORT INTO THE WORKBOOK:</t>
  </si>
  <si>
    <t xml:space="preserve">  1. Save this file.</t>
  </si>
  <si>
    <t xml:space="preserve">  2. Also export as CSV: File → Save As → CSV (comma delimited).</t>
  </si>
  <si>
    <t xml:space="preserve">  3. In the Engineering Workbook, go to Materials → Import CSV.</t>
  </si>
  <si>
    <t xml:space="preserve">  4. Select the CSV file. Materials will be updated.</t>
  </si>
  <si>
    <t xml:space="preserve">All values must be in metric (MPa, kg/m³, /°C).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</si>
</sst>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2A2F"/>
        <bgColor rgb="FF3C3C4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C3C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2A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C3C44"/>
      <rgbColor rgb="FF993300"/>
      <rgbColor rgb="FF993366"/>
      <rgbColor rgb="FF333399"/>
      <rgbColor rgb="FF2A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6"/>
    <col collapsed="false" customWidth="true" hidden="false" outlineLevel="0" max="11" min="6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3" t="n">
        <v>210000</v>
      </c>
      <c r="E2" s="4" t="n">
        <v>0.3</v>
      </c>
      <c r="F2" s="5" t="n">
        <v>410</v>
      </c>
      <c r="G2" s="5" t="n">
        <v>275</v>
      </c>
      <c r="H2" s="5" t="n">
        <v>237</v>
      </c>
      <c r="I2" s="5" t="n">
        <v>635</v>
      </c>
      <c r="J2" s="5" t="n">
        <v>413</v>
      </c>
      <c r="K2" s="5" t="n">
        <v>7850</v>
      </c>
      <c r="L2" s="6" t="n">
        <v>12</v>
      </c>
      <c r="M2" s="7" t="n">
        <f aca="false">F2/K2*1000</f>
        <v>52.2292993630573</v>
      </c>
      <c r="N2" s="2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16</v>
      </c>
      <c r="D3" s="3" t="n">
        <v>210000</v>
      </c>
      <c r="E3" s="4" t="n">
        <v>0.3</v>
      </c>
      <c r="F3" s="5" t="n">
        <v>470</v>
      </c>
      <c r="G3" s="5" t="n">
        <v>355</v>
      </c>
      <c r="H3" s="5" t="n">
        <v>271</v>
      </c>
      <c r="I3" s="5" t="n">
        <v>728</v>
      </c>
      <c r="J3" s="5" t="n">
        <v>533</v>
      </c>
      <c r="K3" s="5" t="n">
        <v>7850</v>
      </c>
      <c r="L3" s="6" t="n">
        <v>12</v>
      </c>
      <c r="M3" s="7" t="n">
        <f aca="false">F3/K3*1000</f>
        <v>59.8726114649682</v>
      </c>
      <c r="N3" s="2" t="s">
        <v>17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16</v>
      </c>
      <c r="D4" s="3" t="n">
        <v>210000</v>
      </c>
      <c r="E4" s="4" t="n">
        <v>0.3</v>
      </c>
      <c r="F4" s="5" t="n">
        <v>770</v>
      </c>
      <c r="G4" s="5" t="n">
        <v>690</v>
      </c>
      <c r="H4" s="5" t="n">
        <v>445</v>
      </c>
      <c r="I4" s="5" t="n">
        <v>1193</v>
      </c>
      <c r="J4" s="5" t="n">
        <v>1035</v>
      </c>
      <c r="K4" s="5" t="n">
        <v>7850</v>
      </c>
      <c r="L4" s="6" t="n">
        <v>12</v>
      </c>
      <c r="M4" s="7" t="n">
        <f aca="false">F4/K4*1000</f>
        <v>98.0891719745223</v>
      </c>
      <c r="N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16</v>
      </c>
      <c r="D5" s="3" t="n">
        <v>205000</v>
      </c>
      <c r="E5" s="4" t="n">
        <v>0.29</v>
      </c>
      <c r="F5" s="5" t="n">
        <v>1020</v>
      </c>
      <c r="G5" s="5" t="n">
        <v>900</v>
      </c>
      <c r="H5" s="5" t="n">
        <v>590</v>
      </c>
      <c r="I5" s="5" t="n">
        <v>1580</v>
      </c>
      <c r="J5" s="5" t="n">
        <v>1350</v>
      </c>
      <c r="K5" s="5" t="n">
        <v>7850</v>
      </c>
      <c r="L5" s="6" t="n">
        <v>11.2</v>
      </c>
      <c r="M5" s="7" t="n">
        <f aca="false">F5/K5*1000</f>
        <v>129.936305732484</v>
      </c>
      <c r="N5" s="2" t="s">
        <v>25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16</v>
      </c>
      <c r="D6" s="3" t="n">
        <v>200000</v>
      </c>
      <c r="E6" s="4" t="n">
        <v>0.29</v>
      </c>
      <c r="F6" s="5" t="n">
        <v>1379</v>
      </c>
      <c r="G6" s="5" t="n">
        <v>1214</v>
      </c>
      <c r="H6" s="5" t="n">
        <v>807</v>
      </c>
      <c r="I6" s="5" t="n">
        <v>2124</v>
      </c>
      <c r="J6" s="5" t="n">
        <v>1862</v>
      </c>
      <c r="K6" s="5" t="n">
        <v>7850</v>
      </c>
      <c r="L6" s="6" t="n">
        <v>11.2</v>
      </c>
      <c r="M6" s="7" t="n">
        <f aca="false">F6/K6*1000</f>
        <v>175.668789808917</v>
      </c>
      <c r="N6" s="2" t="s">
        <v>28</v>
      </c>
    </row>
    <row r="7" customFormat="false" ht="15" hidden="false" customHeight="false" outlineLevel="0" collapsed="false">
      <c r="A7" s="2" t="s">
        <v>29</v>
      </c>
      <c r="B7" s="2" t="s">
        <v>30</v>
      </c>
      <c r="C7" s="2" t="s">
        <v>16</v>
      </c>
      <c r="D7" s="3" t="n">
        <v>200000</v>
      </c>
      <c r="E7" s="4" t="n">
        <v>0.29</v>
      </c>
      <c r="F7" s="5" t="n">
        <v>1034</v>
      </c>
      <c r="G7" s="5" t="n">
        <v>910</v>
      </c>
      <c r="H7" s="5" t="n">
        <v>621</v>
      </c>
      <c r="I7" s="5" t="n">
        <v>1614</v>
      </c>
      <c r="J7" s="5" t="n">
        <v>1393</v>
      </c>
      <c r="K7" s="5" t="n">
        <v>7850</v>
      </c>
      <c r="L7" s="6" t="n">
        <v>11.2</v>
      </c>
      <c r="M7" s="7" t="n">
        <f aca="false">F7/K7*1000</f>
        <v>131.71974522293</v>
      </c>
      <c r="N7" s="2" t="s">
        <v>28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16</v>
      </c>
      <c r="D8" s="3" t="n">
        <v>200000</v>
      </c>
      <c r="E8" s="4" t="n">
        <v>0.29</v>
      </c>
      <c r="F8" s="5" t="n">
        <v>862</v>
      </c>
      <c r="G8" s="5" t="n">
        <v>690</v>
      </c>
      <c r="H8" s="5" t="n">
        <v>517</v>
      </c>
      <c r="I8" s="5" t="n">
        <v>1338</v>
      </c>
      <c r="J8" s="5" t="n">
        <v>1076</v>
      </c>
      <c r="K8" s="5" t="n">
        <v>7850</v>
      </c>
      <c r="L8" s="6" t="n">
        <v>11.2</v>
      </c>
      <c r="M8" s="7" t="n">
        <f aca="false">F8/K8*1000</f>
        <v>109.808917197452</v>
      </c>
      <c r="N8" s="2" t="s">
        <v>33</v>
      </c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16</v>
      </c>
      <c r="D9" s="3" t="n">
        <v>205000</v>
      </c>
      <c r="E9" s="4" t="n">
        <v>0.3</v>
      </c>
      <c r="F9" s="5" t="n">
        <v>850</v>
      </c>
      <c r="G9" s="5" t="n">
        <v>680</v>
      </c>
      <c r="H9" s="5" t="n">
        <v>491</v>
      </c>
      <c r="I9" s="5" t="n">
        <v>1318</v>
      </c>
      <c r="J9" s="5" t="n">
        <v>1020</v>
      </c>
      <c r="K9" s="5" t="n">
        <v>7850</v>
      </c>
      <c r="L9" s="6" t="n">
        <v>11</v>
      </c>
      <c r="M9" s="7" t="n">
        <f aca="false">F9/K9*1000</f>
        <v>108.28025477707</v>
      </c>
      <c r="N9" s="2" t="s">
        <v>36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16</v>
      </c>
      <c r="D10" s="3" t="n">
        <v>210000</v>
      </c>
      <c r="E10" s="4" t="n">
        <v>0.3</v>
      </c>
      <c r="F10" s="5" t="n">
        <v>1580</v>
      </c>
      <c r="G10" s="5" t="n">
        <v>1370</v>
      </c>
      <c r="H10" s="5" t="n">
        <v>912</v>
      </c>
      <c r="I10" s="5" t="n">
        <v>2449</v>
      </c>
      <c r="J10" s="5" t="n">
        <v>2056</v>
      </c>
      <c r="K10" s="5" t="n">
        <v>7750</v>
      </c>
      <c r="L10" s="6" t="n">
        <v>11.5</v>
      </c>
      <c r="M10" s="7" t="n">
        <f aca="false">F10/K10*1000</f>
        <v>203.870967741935</v>
      </c>
      <c r="N10" s="2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3" t="n">
        <v>193000</v>
      </c>
      <c r="E11" s="4" t="n">
        <v>0.29</v>
      </c>
      <c r="F11" s="5" t="n">
        <v>515</v>
      </c>
      <c r="G11" s="5" t="n">
        <v>205</v>
      </c>
      <c r="H11" s="5" t="n">
        <v>310</v>
      </c>
      <c r="I11" s="5" t="n">
        <v>800</v>
      </c>
      <c r="J11" s="5" t="n">
        <v>317</v>
      </c>
      <c r="K11" s="5" t="n">
        <v>8000</v>
      </c>
      <c r="L11" s="6" t="n">
        <v>17.3</v>
      </c>
      <c r="M11" s="7" t="n">
        <f aca="false">F11/K11*1000</f>
        <v>64.375</v>
      </c>
      <c r="N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42</v>
      </c>
      <c r="D12" s="3" t="n">
        <v>193000</v>
      </c>
      <c r="E12" s="4" t="n">
        <v>0.3</v>
      </c>
      <c r="F12" s="5" t="n">
        <v>515</v>
      </c>
      <c r="G12" s="5" t="n">
        <v>205</v>
      </c>
      <c r="H12" s="5" t="n">
        <v>310</v>
      </c>
      <c r="I12" s="5" t="n">
        <v>800</v>
      </c>
      <c r="J12" s="5" t="n">
        <v>317</v>
      </c>
      <c r="K12" s="5" t="n">
        <v>8000</v>
      </c>
      <c r="L12" s="6" t="n">
        <v>16</v>
      </c>
      <c r="M12" s="7" t="n">
        <f aca="false">F12/K12*1000</f>
        <v>64.375</v>
      </c>
      <c r="N12" s="2" t="s">
        <v>43</v>
      </c>
    </row>
    <row r="13" customFormat="false" ht="15" hidden="false" customHeight="false" outlineLevel="0" collapsed="false">
      <c r="A13" s="2" t="s">
        <v>46</v>
      </c>
      <c r="B13" s="2" t="s">
        <v>47</v>
      </c>
      <c r="C13" s="2" t="s">
        <v>42</v>
      </c>
      <c r="D13" s="3" t="n">
        <v>196500</v>
      </c>
      <c r="E13" s="4" t="n">
        <v>0.27</v>
      </c>
      <c r="F13" s="5" t="n">
        <v>1310</v>
      </c>
      <c r="G13" s="5" t="n">
        <v>1172</v>
      </c>
      <c r="H13" s="5" t="n">
        <v>786</v>
      </c>
      <c r="I13" s="5" t="n">
        <v>1966</v>
      </c>
      <c r="J13" s="5" t="n">
        <v>1758</v>
      </c>
      <c r="K13" s="5" t="n">
        <v>7780</v>
      </c>
      <c r="L13" s="6" t="n">
        <v>10.8</v>
      </c>
      <c r="M13" s="7" t="n">
        <f aca="false">F13/K13*1000</f>
        <v>168.380462724936</v>
      </c>
      <c r="N13" s="2" t="s">
        <v>48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2" t="s">
        <v>42</v>
      </c>
      <c r="D14" s="3" t="n">
        <v>196500</v>
      </c>
      <c r="E14" s="4" t="n">
        <v>0.27</v>
      </c>
      <c r="F14" s="5" t="n">
        <v>1069</v>
      </c>
      <c r="G14" s="5" t="n">
        <v>1000</v>
      </c>
      <c r="H14" s="5" t="n">
        <v>641</v>
      </c>
      <c r="I14" s="5" t="n">
        <v>1600</v>
      </c>
      <c r="J14" s="5" t="n">
        <v>1503</v>
      </c>
      <c r="K14" s="5" t="n">
        <v>7780</v>
      </c>
      <c r="L14" s="6" t="n">
        <v>10.8</v>
      </c>
      <c r="M14" s="7" t="n">
        <f aca="false">F14/K14*1000</f>
        <v>137.403598971722</v>
      </c>
      <c r="N14" s="2" t="s">
        <v>48</v>
      </c>
    </row>
    <row r="15" customFormat="false" ht="15" hidden="false" customHeight="false" outlineLevel="0" collapsed="false">
      <c r="A15" s="2" t="s">
        <v>51</v>
      </c>
      <c r="B15" s="2" t="s">
        <v>52</v>
      </c>
      <c r="C15" s="2" t="s">
        <v>42</v>
      </c>
      <c r="D15" s="3" t="n">
        <v>193000</v>
      </c>
      <c r="E15" s="4" t="n">
        <v>0.27</v>
      </c>
      <c r="F15" s="5" t="n">
        <v>1069</v>
      </c>
      <c r="G15" s="5" t="n">
        <v>1000</v>
      </c>
      <c r="H15" s="5" t="n">
        <v>641</v>
      </c>
      <c r="I15" s="5" t="n">
        <v>1655</v>
      </c>
      <c r="J15" s="5" t="n">
        <v>1503</v>
      </c>
      <c r="K15" s="5" t="n">
        <v>7780</v>
      </c>
      <c r="L15" s="6" t="n">
        <v>10.8</v>
      </c>
      <c r="M15" s="7" t="n">
        <f aca="false">F15/K15*1000</f>
        <v>137.403598971722</v>
      </c>
      <c r="N15" s="2" t="s">
        <v>53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56</v>
      </c>
      <c r="D16" s="3" t="n">
        <v>113800</v>
      </c>
      <c r="E16" s="4" t="n">
        <v>0.34</v>
      </c>
      <c r="F16" s="5" t="n">
        <v>950</v>
      </c>
      <c r="G16" s="5" t="n">
        <v>880</v>
      </c>
      <c r="H16" s="5" t="n">
        <v>550</v>
      </c>
      <c r="I16" s="5" t="n">
        <v>1520</v>
      </c>
      <c r="J16" s="5" t="n">
        <v>1408</v>
      </c>
      <c r="K16" s="5" t="n">
        <v>4430</v>
      </c>
      <c r="L16" s="6" t="n">
        <v>8.6</v>
      </c>
      <c r="M16" s="7" t="n">
        <f aca="false">F16/K16*1000</f>
        <v>214.446952595937</v>
      </c>
      <c r="N16" s="2" t="s">
        <v>57</v>
      </c>
    </row>
    <row r="17" customFormat="false" ht="15" hidden="false" customHeight="false" outlineLevel="0" collapsed="false">
      <c r="A17" s="2" t="s">
        <v>58</v>
      </c>
      <c r="B17" s="2" t="s">
        <v>59</v>
      </c>
      <c r="C17" s="2" t="s">
        <v>60</v>
      </c>
      <c r="D17" s="3" t="n">
        <v>72400</v>
      </c>
      <c r="E17" s="4" t="n">
        <v>0.33</v>
      </c>
      <c r="F17" s="5" t="n">
        <v>441</v>
      </c>
      <c r="G17" s="5" t="n">
        <v>290</v>
      </c>
      <c r="H17" s="5" t="n">
        <v>276</v>
      </c>
      <c r="I17" s="5" t="n">
        <v>717</v>
      </c>
      <c r="J17" s="5" t="n">
        <v>497</v>
      </c>
      <c r="K17" s="5" t="n">
        <v>2780</v>
      </c>
      <c r="L17" s="6" t="n">
        <v>23.2</v>
      </c>
      <c r="M17" s="7" t="n">
        <f aca="false">F17/K17*1000</f>
        <v>158.63309352518</v>
      </c>
      <c r="N17" s="2" t="s">
        <v>61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60</v>
      </c>
      <c r="D18" s="3" t="n">
        <v>72400</v>
      </c>
      <c r="E18" s="4" t="n">
        <v>0.33</v>
      </c>
      <c r="F18" s="5" t="n">
        <v>441</v>
      </c>
      <c r="G18" s="5" t="n">
        <v>290</v>
      </c>
      <c r="H18" s="5" t="n">
        <v>276</v>
      </c>
      <c r="I18" s="5" t="n">
        <v>717</v>
      </c>
      <c r="J18" s="5" t="n">
        <v>497</v>
      </c>
      <c r="K18" s="5" t="n">
        <v>2780</v>
      </c>
      <c r="L18" s="6" t="n">
        <v>23.2</v>
      </c>
      <c r="M18" s="7" t="n">
        <f aca="false">F18/K18*1000</f>
        <v>158.63309352518</v>
      </c>
      <c r="N18" s="2" t="s">
        <v>61</v>
      </c>
    </row>
    <row r="19" customFormat="false" ht="15" hidden="false" customHeight="false" outlineLevel="0" collapsed="false">
      <c r="A19" s="2" t="s">
        <v>64</v>
      </c>
      <c r="B19" s="2" t="s">
        <v>65</v>
      </c>
      <c r="C19" s="2" t="s">
        <v>60</v>
      </c>
      <c r="D19" s="3" t="n">
        <v>71000</v>
      </c>
      <c r="E19" s="4" t="n">
        <v>0.33</v>
      </c>
      <c r="F19" s="5" t="n">
        <v>538</v>
      </c>
      <c r="G19" s="5" t="n">
        <v>469</v>
      </c>
      <c r="H19" s="5" t="n">
        <v>324</v>
      </c>
      <c r="I19" s="5" t="n">
        <v>820</v>
      </c>
      <c r="J19" s="5" t="n">
        <v>724</v>
      </c>
      <c r="K19" s="5" t="n">
        <v>2810</v>
      </c>
      <c r="L19" s="6" t="n">
        <v>23.6</v>
      </c>
      <c r="M19" s="7" t="n">
        <f aca="false">F19/K19*1000</f>
        <v>191.459074733096</v>
      </c>
      <c r="N19" s="2" t="s">
        <v>61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60</v>
      </c>
      <c r="D20" s="3" t="n">
        <v>71000</v>
      </c>
      <c r="E20" s="4" t="n">
        <v>0.33</v>
      </c>
      <c r="F20" s="5" t="n">
        <v>524</v>
      </c>
      <c r="G20" s="5" t="n">
        <v>455</v>
      </c>
      <c r="H20" s="5" t="n">
        <v>303</v>
      </c>
      <c r="I20" s="5" t="n">
        <v>800</v>
      </c>
      <c r="J20" s="5" t="n">
        <v>703</v>
      </c>
      <c r="K20" s="5" t="n">
        <v>2810</v>
      </c>
      <c r="L20" s="6" t="n">
        <v>23.6</v>
      </c>
      <c r="M20" s="7" t="n">
        <f aca="false">F20/K20*1000</f>
        <v>186.476868327402</v>
      </c>
      <c r="N20" s="2" t="s">
        <v>61</v>
      </c>
    </row>
    <row r="21" customFormat="false" ht="15" hidden="false" customHeight="false" outlineLevel="0" collapsed="false">
      <c r="A21" s="2" t="s">
        <v>68</v>
      </c>
      <c r="B21" s="2" t="s">
        <v>69</v>
      </c>
      <c r="C21" s="2" t="s">
        <v>60</v>
      </c>
      <c r="D21" s="3" t="n">
        <v>68900</v>
      </c>
      <c r="E21" s="4" t="n">
        <v>0.33</v>
      </c>
      <c r="F21" s="5" t="n">
        <v>310</v>
      </c>
      <c r="G21" s="5" t="n">
        <v>276</v>
      </c>
      <c r="H21" s="5" t="n">
        <v>207</v>
      </c>
      <c r="I21" s="5" t="n">
        <v>510</v>
      </c>
      <c r="J21" s="5" t="n">
        <v>441</v>
      </c>
      <c r="K21" s="5" t="n">
        <v>2700</v>
      </c>
      <c r="L21" s="6" t="n">
        <v>23.6</v>
      </c>
      <c r="M21" s="7" t="n">
        <f aca="false">F21/K21*1000</f>
        <v>114.814814814815</v>
      </c>
      <c r="N21" s="2" t="s">
        <v>61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s">
        <v>60</v>
      </c>
      <c r="D22" s="3" t="n">
        <v>70000</v>
      </c>
      <c r="E22" s="4" t="n">
        <v>0.33</v>
      </c>
      <c r="F22" s="5" t="n">
        <v>310</v>
      </c>
      <c r="G22" s="5" t="n">
        <v>260</v>
      </c>
      <c r="H22" s="5" t="n">
        <v>186</v>
      </c>
      <c r="I22" s="5" t="n">
        <v>480</v>
      </c>
      <c r="J22" s="5" t="n">
        <v>400</v>
      </c>
      <c r="K22" s="5" t="n">
        <v>2710</v>
      </c>
      <c r="L22" s="6" t="n">
        <v>23.1</v>
      </c>
      <c r="M22" s="7" t="n">
        <f aca="false">F22/K22*1000</f>
        <v>114.391143911439</v>
      </c>
      <c r="N22" s="2" t="s">
        <v>72</v>
      </c>
    </row>
    <row r="23" customFormat="false" ht="15" hidden="false" customHeight="false" outlineLevel="0" collapsed="false">
      <c r="A23" s="2" t="s">
        <v>73</v>
      </c>
      <c r="B23" s="2" t="s">
        <v>74</v>
      </c>
      <c r="C23" s="2" t="s">
        <v>60</v>
      </c>
      <c r="D23" s="3" t="n">
        <v>70300</v>
      </c>
      <c r="E23" s="4" t="n">
        <v>0.33</v>
      </c>
      <c r="F23" s="5" t="n">
        <v>228</v>
      </c>
      <c r="G23" s="5" t="n">
        <v>193</v>
      </c>
      <c r="H23" s="5" t="n">
        <v>138</v>
      </c>
      <c r="I23" s="5" t="n">
        <v>352</v>
      </c>
      <c r="J23" s="5" t="n">
        <v>297</v>
      </c>
      <c r="K23" s="5" t="n">
        <v>2680</v>
      </c>
      <c r="L23" s="6" t="n">
        <v>23.8</v>
      </c>
      <c r="M23" s="7" t="n">
        <f aca="false">F23/K23*1000</f>
        <v>85.0746268656717</v>
      </c>
      <c r="N23" s="2" t="s">
        <v>61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60</v>
      </c>
      <c r="D24" s="3" t="n">
        <v>71000</v>
      </c>
      <c r="E24" s="4" t="n">
        <v>0.33</v>
      </c>
      <c r="F24" s="5" t="n">
        <v>510</v>
      </c>
      <c r="G24" s="5" t="n">
        <v>441</v>
      </c>
      <c r="H24" s="5" t="n">
        <v>303</v>
      </c>
      <c r="I24" s="5" t="n">
        <v>786</v>
      </c>
      <c r="J24" s="5" t="n">
        <v>676</v>
      </c>
      <c r="K24" s="5" t="n">
        <v>2830</v>
      </c>
      <c r="L24" s="6" t="n">
        <v>23.4</v>
      </c>
      <c r="M24" s="7" t="n">
        <f aca="false">F24/K24*1000</f>
        <v>180.212014134276</v>
      </c>
      <c r="N24" s="2" t="s">
        <v>77</v>
      </c>
    </row>
  </sheetData>
  <autoFilter ref="A1:N24"/>
  <conditionalFormatting sqref="M2:M24">
    <cfRule type="dataBar" priority="2">
      <dataBar showValue="1" minLength="10" maxLength="90">
        <cfvo type="min" val="0"/>
        <cfvo type="max" val="0"/>
        <color rgb="FF6B8AFF"/>
      </dataBar>
      <extLst>
        <ext xmlns:x14="http://schemas.microsoft.com/office/spreadsheetml/2009/9/main" uri="{B025F937-C7B1-47D3-B67F-A62EFF666E3E}">
          <x14:id>{6C2C1062-9EE5-4654-A692-79704C80E986}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2C1062-9EE5-4654-A692-79704C80E986}">
            <x14:dataBar minLength="10" maxLength="90" axisPosition="none" gradient="true">
              <x14:cfvo type="min"/>
              <x14:cfvo type="max"/>
              <x14:negativeFillColor rgb="FF6B8AFF"/>
              <x14:axisColor rgb="FF000000"/>
            </x14:dataBar>
          </x14:cfRule>
          <xm:sqref>M2:M24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8" t="s">
        <v>78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79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9" t="s">
        <v>80</v>
      </c>
    </row>
    <row r="6" customFormat="false" ht="15" hidden="false" customHeight="false" outlineLevel="0" collapsed="false">
      <c r="A6" s="10" t="s">
        <v>81</v>
      </c>
    </row>
    <row r="7" customFormat="false" ht="15" hidden="false" customHeight="false" outlineLevel="0" collapsed="false">
      <c r="A7" s="10" t="s">
        <v>82</v>
      </c>
    </row>
    <row r="8" customFormat="false" ht="15" hidden="false" customHeight="false" outlineLevel="0" collapsed="false">
      <c r="A8" s="10" t="s">
        <v>83</v>
      </c>
    </row>
    <row r="9" customFormat="false" ht="15" hidden="false" customHeight="false" outlineLevel="0" collapsed="false">
      <c r="A9" s="10" t="s">
        <v>84</v>
      </c>
    </row>
    <row r="10" customFormat="false" ht="15" hidden="false" customHeight="false" outlineLevel="0" collapsed="false">
      <c r="A10" s="10" t="s">
        <v>85</v>
      </c>
    </row>
    <row r="11" customFormat="false" ht="15" hidden="false" customHeight="false" outlineLevel="0" collapsed="false">
      <c r="A11" s="10" t="s">
        <v>86</v>
      </c>
    </row>
    <row r="12" customFormat="false" ht="15" hidden="false" customHeight="false" outlineLevel="0" collapsed="false">
      <c r="A12" s="10" t="s">
        <v>87</v>
      </c>
    </row>
    <row r="13" customFormat="false" ht="15" hidden="false" customHeight="false" outlineLevel="0" collapsed="false">
      <c r="A13" s="10" t="s">
        <v>88</v>
      </c>
    </row>
    <row r="14" customFormat="false" ht="15" hidden="false" customHeight="false" outlineLevel="0" collapsed="false">
      <c r="A14" s="10" t="s">
        <v>89</v>
      </c>
    </row>
    <row r="15" customFormat="false" ht="15" hidden="false" customHeight="false" outlineLevel="0" collapsed="false">
      <c r="A15" s="10" t="s">
        <v>90</v>
      </c>
    </row>
    <row r="16" customFormat="false" ht="15" hidden="false" customHeight="false" outlineLevel="0" collapsed="false">
      <c r="A16" s="10" t="s">
        <v>91</v>
      </c>
    </row>
    <row r="17" customFormat="false" ht="15" hidden="false" customHeight="false" outlineLevel="0" collapsed="false">
      <c r="A17" s="10" t="s">
        <v>92</v>
      </c>
    </row>
    <row r="18" customFormat="false" ht="15" hidden="false" customHeight="false" outlineLevel="0" collapsed="false">
      <c r="A18" s="10" t="s">
        <v>93</v>
      </c>
    </row>
    <row r="19" customFormat="false" ht="15" hidden="false" customHeight="false" outlineLevel="0" collapsed="false">
      <c r="A19" s="10" t="s">
        <v>94</v>
      </c>
    </row>
    <row r="20" customFormat="false" ht="15" hidden="false" customHeight="false" outlineLevel="0" collapsed="false">
      <c r="A20" s="9"/>
    </row>
    <row r="21" customFormat="false" ht="15" hidden="false" customHeight="false" outlineLevel="0" collapsed="false">
      <c r="A21" s="9" t="s">
        <v>95</v>
      </c>
    </row>
    <row r="22" customFormat="false" ht="15" hidden="false" customHeight="false" outlineLevel="0" collapsed="false">
      <c r="A22" s="10" t="s">
        <v>96</v>
      </c>
    </row>
    <row r="23" customFormat="false" ht="15" hidden="false" customHeight="false" outlineLevel="0" collapsed="false">
      <c r="A23" s="10" t="s">
        <v>97</v>
      </c>
    </row>
    <row r="24" customFormat="false" ht="15" hidden="false" customHeight="false" outlineLevel="0" collapsed="false">
      <c r="A24" s="9"/>
    </row>
    <row r="25" customFormat="false" ht="15" hidden="false" customHeight="false" outlineLevel="0" collapsed="false">
      <c r="A25" s="9" t="s">
        <v>98</v>
      </c>
    </row>
    <row r="26" customFormat="false" ht="15" hidden="false" customHeight="false" outlineLevel="0" collapsed="false">
      <c r="A26" s="10" t="s">
        <v>99</v>
      </c>
    </row>
    <row r="27" customFormat="false" ht="15" hidden="false" customHeight="false" outlineLevel="0" collapsed="false">
      <c r="A27" s="10" t="s">
        <v>100</v>
      </c>
    </row>
    <row r="28" customFormat="false" ht="15" hidden="false" customHeight="false" outlineLevel="0" collapsed="false">
      <c r="A28" s="10" t="s">
        <v>101</v>
      </c>
    </row>
    <row r="29" customFormat="false" ht="15" hidden="false" customHeight="false" outlineLevel="0" collapsed="false">
      <c r="A29" s="10" t="s">
        <v>102</v>
      </c>
    </row>
    <row r="30" customFormat="false" ht="15" hidden="false" customHeight="false" outlineLevel="0" collapsed="false">
      <c r="A30" s="9"/>
    </row>
    <row r="31" customFormat="false" ht="15" hidden="false" customHeight="false" outlineLevel="0" collapsed="false">
      <c r="A31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2026-06-01T20:01:57Z</dcterms:created>
  <dc:creator>openpyxl</dc:creator>
  <dc:description/>
  <dc:language>en-US</dc:language>
  <cp:lastModifiedBy/>
  <dcterms:modified xsi:type="dcterms:W3CDTF">2026-06-01T20:01:57Z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